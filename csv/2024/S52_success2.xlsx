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HOUX\Maquereau\iml-mackerel\02.0_catch-at-age\csv\2024\"/>
    </mc:Choice>
  </mc:AlternateContent>
  <xr:revisionPtr revIDLastSave="0" documentId="13_ncr:40009_{C8F24B36-0184-4874-8453-2DEC4408C4C3}" xr6:coauthVersionLast="47" xr6:coauthVersionMax="47" xr10:uidLastSave="{00000000-0000-0000-0000-000000000000}"/>
  <bookViews>
    <workbookView minimized="1" xWindow="1848" yWindow="1848" windowWidth="17280" windowHeight="8880"/>
  </bookViews>
  <sheets>
    <sheet name="Nlf_nafo" sheetId="1" r:id="rId1"/>
  </sheets>
  <calcPr calcId="0"/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C4" i="1"/>
  <c r="D8" i="1"/>
  <c r="E8" i="1"/>
  <c r="F8" i="1"/>
  <c r="G8" i="1"/>
  <c r="H8" i="1"/>
  <c r="I8" i="1"/>
  <c r="J8" i="1"/>
  <c r="K8" i="1"/>
  <c r="L8" i="1"/>
  <c r="M8" i="1"/>
  <c r="C8" i="1"/>
  <c r="H3" i="1"/>
  <c r="H5" i="1"/>
  <c r="H6" i="1"/>
  <c r="H7" i="1"/>
  <c r="H2" i="1"/>
  <c r="E3" i="1"/>
  <c r="E5" i="1"/>
  <c r="E6" i="1"/>
  <c r="E7" i="1"/>
  <c r="E9" i="1"/>
  <c r="E2" i="1"/>
</calcChain>
</file>

<file path=xl/sharedStrings.xml><?xml version="1.0" encoding="utf-8"?>
<sst xmlns="http://schemas.openxmlformats.org/spreadsheetml/2006/main" count="27" uniqueCount="26">
  <si>
    <t>year</t>
  </si>
  <si>
    <t>month</t>
  </si>
  <si>
    <t>4T</t>
  </si>
  <si>
    <t>4S</t>
  </si>
  <si>
    <t>4W</t>
  </si>
  <si>
    <t>4X</t>
  </si>
  <si>
    <t>3K</t>
  </si>
  <si>
    <t>3L</t>
  </si>
  <si>
    <t>4R</t>
  </si>
  <si>
    <t>total</t>
  </si>
  <si>
    <t>Gulf</t>
  </si>
  <si>
    <t>Maritimes</t>
  </si>
  <si>
    <t>wNL</t>
  </si>
  <si>
    <t>eNL</t>
  </si>
  <si>
    <t>Request</t>
  </si>
  <si>
    <t>- more are requested later in the season as well)</t>
  </si>
  <si>
    <t>annual request</t>
  </si>
  <si>
    <t>received</t>
  </si>
  <si>
    <t>Nova Scotia</t>
  </si>
  <si>
    <t>GCIFA, individual harvesters</t>
  </si>
  <si>
    <t>Southern Gulf</t>
  </si>
  <si>
    <t>PEIFA, MFA, individual harvester</t>
  </si>
  <si>
    <t>*shortage due to failed attempts (harvesters going out but not catching mackerel)</t>
  </si>
  <si>
    <t>Western Newfoundland</t>
  </si>
  <si>
    <t>FFAW</t>
  </si>
  <si>
    <t>Eastern Newfoundland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</si>
</sst>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A16" workbookViewId="0">
      <selection activeCell="H23" sqref="H22:H23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11</v>
      </c>
      <c r="I1" t="s">
        <v>6</v>
      </c>
      <c r="J1" t="s">
        <v>7</v>
      </c>
      <c r="K1" t="s">
        <v>13</v>
      </c>
      <c r="L1" t="s">
        <v>8</v>
      </c>
      <c r="M1" t="s">
        <v>12</v>
      </c>
      <c r="N1" t="s">
        <v>9</v>
      </c>
    </row>
    <row r="2" spans="1:14" x14ac:dyDescent="0.3">
      <c r="A2">
        <v>2023</v>
      </c>
      <c r="B2">
        <v>6</v>
      </c>
      <c r="C2">
        <v>6</v>
      </c>
      <c r="D2">
        <v>0</v>
      </c>
      <c r="E2">
        <f>C2+D2</f>
        <v>6</v>
      </c>
      <c r="F2">
        <v>2</v>
      </c>
      <c r="G2">
        <v>3</v>
      </c>
      <c r="H2">
        <f>SUM(F2:G2)</f>
        <v>5</v>
      </c>
      <c r="I2">
        <v>0</v>
      </c>
      <c r="J2">
        <v>0</v>
      </c>
      <c r="L2">
        <v>0</v>
      </c>
      <c r="N2">
        <v>11</v>
      </c>
    </row>
    <row r="3" spans="1:14" x14ac:dyDescent="0.3">
      <c r="A3">
        <v>2023</v>
      </c>
      <c r="B3">
        <v>7</v>
      </c>
      <c r="C3">
        <v>12</v>
      </c>
      <c r="D3">
        <v>0</v>
      </c>
      <c r="E3">
        <f t="shared" ref="E3:E10" si="0">C3+D3</f>
        <v>12</v>
      </c>
      <c r="F3">
        <v>3</v>
      </c>
      <c r="G3">
        <v>5</v>
      </c>
      <c r="H3">
        <f t="shared" ref="H3:H7" si="1">SUM(F3:G3)</f>
        <v>8</v>
      </c>
      <c r="I3">
        <v>0</v>
      </c>
      <c r="J3">
        <v>0</v>
      </c>
      <c r="L3">
        <v>6</v>
      </c>
      <c r="M3">
        <v>6</v>
      </c>
      <c r="N3">
        <v>26</v>
      </c>
    </row>
    <row r="4" spans="1:14" s="1" customFormat="1" x14ac:dyDescent="0.3">
      <c r="C4" s="1">
        <f>SUM(C2:C3)</f>
        <v>18</v>
      </c>
      <c r="D4" s="1">
        <f t="shared" ref="D4:M4" si="2">SUM(D2:D3)</f>
        <v>0</v>
      </c>
      <c r="E4" s="1">
        <f t="shared" si="2"/>
        <v>18</v>
      </c>
      <c r="F4" s="1">
        <f t="shared" si="2"/>
        <v>5</v>
      </c>
      <c r="G4" s="1">
        <f t="shared" si="2"/>
        <v>8</v>
      </c>
      <c r="H4" s="1">
        <f t="shared" si="2"/>
        <v>13</v>
      </c>
      <c r="I4" s="1">
        <f t="shared" si="2"/>
        <v>0</v>
      </c>
      <c r="J4" s="1">
        <f t="shared" si="2"/>
        <v>0</v>
      </c>
      <c r="K4" s="1">
        <f t="shared" si="2"/>
        <v>0</v>
      </c>
      <c r="L4" s="1">
        <f t="shared" si="2"/>
        <v>6</v>
      </c>
      <c r="M4" s="1">
        <f t="shared" si="2"/>
        <v>6</v>
      </c>
    </row>
    <row r="5" spans="1:14" x14ac:dyDescent="0.3">
      <c r="A5">
        <v>2024</v>
      </c>
      <c r="B5">
        <v>5</v>
      </c>
      <c r="C5">
        <v>0</v>
      </c>
      <c r="D5">
        <v>0</v>
      </c>
      <c r="E5">
        <f t="shared" si="0"/>
        <v>0</v>
      </c>
      <c r="F5">
        <v>2</v>
      </c>
      <c r="G5">
        <v>0</v>
      </c>
      <c r="H5">
        <f t="shared" si="1"/>
        <v>2</v>
      </c>
      <c r="I5">
        <v>0</v>
      </c>
      <c r="J5">
        <v>0</v>
      </c>
      <c r="L5">
        <v>0</v>
      </c>
      <c r="N5">
        <v>2</v>
      </c>
    </row>
    <row r="6" spans="1:14" x14ac:dyDescent="0.3">
      <c r="A6">
        <v>2024</v>
      </c>
      <c r="B6">
        <v>6</v>
      </c>
      <c r="C6">
        <v>9</v>
      </c>
      <c r="D6">
        <v>0</v>
      </c>
      <c r="E6">
        <f t="shared" si="0"/>
        <v>9</v>
      </c>
      <c r="F6">
        <v>0</v>
      </c>
      <c r="G6">
        <v>3</v>
      </c>
      <c r="H6">
        <f t="shared" si="1"/>
        <v>3</v>
      </c>
      <c r="I6">
        <v>0</v>
      </c>
      <c r="J6">
        <v>0</v>
      </c>
      <c r="L6">
        <v>2</v>
      </c>
      <c r="M6">
        <v>2</v>
      </c>
      <c r="N6">
        <v>14</v>
      </c>
    </row>
    <row r="7" spans="1:14" x14ac:dyDescent="0.3">
      <c r="A7">
        <v>2024</v>
      </c>
      <c r="B7">
        <v>7</v>
      </c>
      <c r="C7">
        <v>10</v>
      </c>
      <c r="D7">
        <v>0</v>
      </c>
      <c r="E7">
        <f t="shared" si="0"/>
        <v>10</v>
      </c>
      <c r="F7">
        <v>3</v>
      </c>
      <c r="G7">
        <v>5</v>
      </c>
      <c r="H7">
        <f t="shared" si="1"/>
        <v>8</v>
      </c>
      <c r="I7">
        <v>1</v>
      </c>
      <c r="J7">
        <v>0</v>
      </c>
      <c r="K7">
        <v>1</v>
      </c>
      <c r="L7">
        <v>2</v>
      </c>
      <c r="M7">
        <v>2</v>
      </c>
      <c r="N7">
        <v>21</v>
      </c>
    </row>
    <row r="8" spans="1:14" s="1" customFormat="1" x14ac:dyDescent="0.3">
      <c r="C8" s="1">
        <f>SUM(C5:C7)</f>
        <v>19</v>
      </c>
      <c r="D8" s="1">
        <f t="shared" ref="D8:M8" si="3">SUM(D5:D7)</f>
        <v>0</v>
      </c>
      <c r="E8" s="1">
        <f t="shared" si="3"/>
        <v>19</v>
      </c>
      <c r="F8" s="1">
        <f t="shared" si="3"/>
        <v>5</v>
      </c>
      <c r="G8" s="1">
        <f t="shared" si="3"/>
        <v>8</v>
      </c>
      <c r="H8" s="1">
        <f t="shared" si="3"/>
        <v>13</v>
      </c>
      <c r="I8" s="1">
        <f t="shared" si="3"/>
        <v>1</v>
      </c>
      <c r="J8" s="1">
        <f t="shared" si="3"/>
        <v>0</v>
      </c>
      <c r="K8" s="1">
        <f t="shared" si="3"/>
        <v>1</v>
      </c>
      <c r="L8" s="1">
        <f t="shared" si="3"/>
        <v>4</v>
      </c>
      <c r="M8" s="1">
        <f t="shared" si="3"/>
        <v>4</v>
      </c>
    </row>
    <row r="9" spans="1:14" x14ac:dyDescent="0.3">
      <c r="A9">
        <v>2025</v>
      </c>
      <c r="B9">
        <v>6</v>
      </c>
      <c r="E9">
        <f t="shared" si="0"/>
        <v>0</v>
      </c>
    </row>
    <row r="10" spans="1:14" x14ac:dyDescent="0.3">
      <c r="A10">
        <v>2025</v>
      </c>
      <c r="B10">
        <v>7</v>
      </c>
      <c r="E10">
        <v>20</v>
      </c>
      <c r="H10">
        <v>10</v>
      </c>
      <c r="K10">
        <v>6</v>
      </c>
      <c r="M10">
        <v>1</v>
      </c>
    </row>
    <row r="11" spans="1:14" x14ac:dyDescent="0.3">
      <c r="A11" t="s">
        <v>14</v>
      </c>
    </row>
    <row r="17" spans="3:9" ht="14.4" customHeight="1" x14ac:dyDescent="0.3">
      <c r="C17" s="3" t="s">
        <v>15</v>
      </c>
      <c r="D17" s="3"/>
      <c r="E17" s="3"/>
      <c r="F17" s="3"/>
      <c r="G17" s="3"/>
      <c r="H17" s="2"/>
      <c r="I17" s="2"/>
    </row>
    <row r="18" spans="3:9" ht="28.8" x14ac:dyDescent="0.3">
      <c r="C18" s="2"/>
      <c r="D18" s="2"/>
      <c r="E18" s="2" t="s">
        <v>16</v>
      </c>
      <c r="F18" s="3" t="s">
        <v>17</v>
      </c>
      <c r="G18" s="3"/>
      <c r="H18" s="3"/>
      <c r="I18" s="2"/>
    </row>
    <row r="19" spans="3:9" x14ac:dyDescent="0.3">
      <c r="C19" s="2"/>
      <c r="D19" s="2"/>
      <c r="E19" s="2"/>
      <c r="F19" s="2">
        <v>2023</v>
      </c>
      <c r="G19" s="2">
        <v>2024</v>
      </c>
      <c r="H19" s="2">
        <v>2025</v>
      </c>
      <c r="I19" s="2"/>
    </row>
    <row r="20" spans="3:9" ht="43.2" x14ac:dyDescent="0.3">
      <c r="C20" s="2" t="s">
        <v>18</v>
      </c>
      <c r="D20" s="2" t="s">
        <v>19</v>
      </c>
      <c r="E20" s="2">
        <v>12</v>
      </c>
      <c r="F20" s="2">
        <v>13</v>
      </c>
      <c r="G20" s="2">
        <v>13</v>
      </c>
      <c r="H20" s="2">
        <v>10</v>
      </c>
      <c r="I20" s="2"/>
    </row>
    <row r="21" spans="3:9" ht="115.2" x14ac:dyDescent="0.3">
      <c r="C21" s="2" t="s">
        <v>20</v>
      </c>
      <c r="D21" s="2" t="s">
        <v>21</v>
      </c>
      <c r="E21" s="2">
        <v>24</v>
      </c>
      <c r="F21" s="2">
        <v>18</v>
      </c>
      <c r="G21" s="2">
        <v>19</v>
      </c>
      <c r="H21" s="2">
        <v>20</v>
      </c>
      <c r="I21" s="2" t="s">
        <v>22</v>
      </c>
    </row>
    <row r="22" spans="3:9" ht="43.2" x14ac:dyDescent="0.3">
      <c r="C22" s="2" t="s">
        <v>23</v>
      </c>
      <c r="D22" s="2" t="s">
        <v>24</v>
      </c>
      <c r="E22" s="2">
        <v>14</v>
      </c>
      <c r="F22" s="2">
        <v>6</v>
      </c>
      <c r="G22" s="2">
        <v>4</v>
      </c>
      <c r="H22" s="2">
        <v>1</v>
      </c>
      <c r="I22" s="2"/>
    </row>
    <row r="23" spans="3:9" ht="43.2" x14ac:dyDescent="0.3">
      <c r="C23" s="2" t="s">
        <v>25</v>
      </c>
      <c r="D23" s="2" t="s">
        <v>24</v>
      </c>
      <c r="E23" s="2">
        <v>4</v>
      </c>
      <c r="F23" s="2">
        <v>0</v>
      </c>
      <c r="G23" s="2">
        <v>2</v>
      </c>
      <c r="H23" s="2">
        <v>6</v>
      </c>
      <c r="I23" s="2"/>
    </row>
  </sheetData>
  <mergeCells count="2">
    <mergeCell ref="C17:G17"/>
    <mergeCell ref="F18:H18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Nlf_nafo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Lehoux, Caroline (DFO/MPO)</dc:creator>
  <cp:lastModifiedBy>Lehoux, Caroline (DFO/MPO)</cp:lastModifiedBy>
  <dcterms:created xsi:type="dcterms:W3CDTF">2025-08-27T20:14:57Z</dcterms:created>
  <dcterms:modified xsi:type="dcterms:W3CDTF">2025-08-27T20:44:10Z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2025-08-27T20:44:10Z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43f12869-7ce9-419b-ad1f-9341ac81a864</vt:lpwstr>
  </property>
  <property fmtid="{D5CDD505-2E9C-101B-9397-08002B2CF9AE}" pid="8" name="MSIP_Label_4e6cdb53-fd15-486d-84de-c510e3a62203_ContentBits">
    <vt:lpwstr>1</vt:lpwstr>
  </property>
</Properties>
</file>